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\Ikastekoa\5\NAEX\"/>
    </mc:Choice>
  </mc:AlternateContent>
  <xr:revisionPtr revIDLastSave="0" documentId="13_ncr:1_{6B8ABEAF-3EB3-4D3D-BF19-D9418A8904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nSheet_SingleColumn" sheetId="1" r:id="rId1"/>
    <sheet name="Config_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19" i="1"/>
  <c r="L8" i="1"/>
</calcChain>
</file>

<file path=xl/sharedStrings.xml><?xml version="1.0" encoding="utf-8"?>
<sst xmlns="http://schemas.openxmlformats.org/spreadsheetml/2006/main" count="260" uniqueCount="62">
  <si>
    <t>Plane_Type,Mass_Level,Launch_Angle_deg,Launch_Height,Throw_Speed,Config_ID,Day,Order_in_Day,Replicate,Radial_Distance_cm,Trajectory_Angle_deg,Notes</t>
  </si>
  <si>
    <t>Config_ID</t>
  </si>
  <si>
    <t>Plane_Type</t>
  </si>
  <si>
    <t>Mass_Level</t>
  </si>
  <si>
    <t>Launch_Angle_deg</t>
  </si>
  <si>
    <t>Launch_Height</t>
  </si>
  <si>
    <t>Throw_Speed</t>
  </si>
  <si>
    <t>Purpose</t>
  </si>
  <si>
    <t>A (Dart)</t>
  </si>
  <si>
    <t>Mid(5.25g) (5.25g)</t>
  </si>
  <si>
    <t>High (130.0cm)</t>
  </si>
  <si>
    <t>Low</t>
  </si>
  <si>
    <t>Response surface (face-centered CCD)</t>
  </si>
  <si>
    <t>Mid(92.5cm) (92.5cm)</t>
  </si>
  <si>
    <t>Normal (3.5g)</t>
  </si>
  <si>
    <t>Low (55.0cm)</t>
  </si>
  <si>
    <t>Double (7.0g)</t>
  </si>
  <si>
    <t>High</t>
  </si>
  <si>
    <t>Normal</t>
  </si>
  <si>
    <t>Optimal confirmation</t>
  </si>
  <si>
    <t>A,Mid(5.25g),22.5,High,Low,201,1,1,1,354.4009,18,CCD point (B=0; C=0; D=1) at Low speed,</t>
  </si>
  <si>
    <t>A,Mid(5.25g),45.0,Mid(92.5cm),Low,202,1,2,1,358.2401,6,CCD point (B=0; C=1; D=0) at Low speed,</t>
  </si>
  <si>
    <t>A,Normal,45.0,Low,Low,204,1,4,1,462.08224,6,CCD point (B=-1; C=1; D=-1) at Low speed,</t>
  </si>
  <si>
    <t>A,Mid(5.25g),22.5,Mid(92.5cm),Low,205,1,5,1,214.2060,8,CCD point (B=0; C=0; D=0) at Low speed,</t>
  </si>
  <si>
    <t>A,Mid(5.25g),22.5,Mid(92.5cm),Low,206,1,6,1,377.0198,12,CCD point (B=0; C=0; D=0) at Low speed,</t>
  </si>
  <si>
    <t>A,Double,22.5,Mid(92.5cm),Low,207,1,7,1,268.1194,1,CCD point (B=1; C=0; D=0) at Low speed,</t>
  </si>
  <si>
    <t>A,Double,45.0,High,Low,208,1,8,1,177.1327,18,CCD point (B=1; C=1; D=1) at Low speed,</t>
  </si>
  <si>
    <t>A,Mid(5.25g),0.0,Mid(92.5cm),Low,209,1,9,1,360.9986,17,CCD point (B=0; C=-1; D=0) at Low speed,</t>
  </si>
  <si>
    <t>A,Normal,0.0,High,Low,210,1,10,1,479.6832,12,CCD point (B=-1; C=-1; D=1) at Low speed,</t>
  </si>
  <si>
    <t>A,Double,0.0,High,Low,211,1,11,1,587.0059,18,CCD point (B=1; C=-1; D=1) at Low speed,</t>
  </si>
  <si>
    <t>A,Mid(5.25g),22.5,Low,Low,212,1,12,1,374.1443,4,CCD point (B=0; C=0; D=-1) at Low speed,</t>
  </si>
  <si>
    <t>A,Normal,22.5,Mid(92.5cm),Low,213,1,13,1,384.666,8,CCD point (B=-1; C=0; D=0) at Low speed,</t>
  </si>
  <si>
    <t>A,Double,0.0,Low,Low,214,1,14,1,312,0,CCD point (B=1; C=-1; D=-1) at Low speed,</t>
  </si>
  <si>
    <t>A,Double,45.0,Low,Low,215,1,15,1,351.2647,8,CCD point (B=1; C=1; D=-1) at Low speed,</t>
  </si>
  <si>
    <t>A,Normal,0.0,Low,Low,216,1,16,1,346.5948,14,CCD point (B=-1; C=-1; D=-1) at Low speed,</t>
  </si>
  <si>
    <t>A,Normal,45.0,High,Low,217,1,17,1,405.0876,10,CCD point (B=-1; C=1; D=1) at Low speed,</t>
  </si>
  <si>
    <t>A,Double,0.0,Low,High,218,2,1,1,286.7752,22,CCD point (B=1; C=-1; D=-1) at High speed,</t>
  </si>
  <si>
    <t>A,Mid(5.25g),0.0,Mid(92.5cm),High,219,2,2,1,448.7137,12,CCD point (B=0; C=-1; D=0) at High speed,</t>
  </si>
  <si>
    <t>A,Normal,0.0,Low,High,220,2,3,1,441.9773,20,CCD point (B=-1; C=-1; D=-1) at High speed,</t>
  </si>
  <si>
    <t>A,Mid(5.25g),22.5,Mid(92.5cm),High,221,2,4,1,516.3874,21,CCD point (B=0; C=0; D=0) at High speed,</t>
  </si>
  <si>
    <t>A,Normal,22.5,Mid(92.5cm),High,222,2,5,1,566.9568,14,CCD point (B=-1; C=0; D=0) at High speed,</t>
  </si>
  <si>
    <t>A,Double,22.5,Mid(92.5cm),High,223,2,6,1,428.6723,4,CCD point (B=1; C=0; D=0) at High speed,</t>
  </si>
  <si>
    <t>A,Mid(5.25g),22.5,High,High,224,2,7,1,447.3030,20,CCD point (B=0; C=0; D=1) at High speed,</t>
  </si>
  <si>
    <t>A,Mid(5.25g),45.0,Mid(92.5cm),High,225,2,8,1,336.0952,2,CCD point (B=0; C=1; D=0) at High speed,</t>
  </si>
  <si>
    <t>A,Normal,45.0,High,High,226,2,9,1,635.04331,40,CCD point (B=-1; C=1; D=1) at High speed,</t>
  </si>
  <si>
    <t>A,Mid(5.25g),22.5,Mid(92.5cm),High,227,2,10,1,481.0655,5,CCD point (B=0; C=0; D=0) at High speed,</t>
  </si>
  <si>
    <t>A,Normal,45.0,Low,High,228,2,11,1,469.57,22,CCD point (B=-1; C=1; D=-1) at High speed,</t>
  </si>
  <si>
    <t>A,Mid(5.25g),22.5,Low,High,229,2,12,1,463.4825,26,CCD point (B=0; C=0; D=-1) at High speed,</t>
  </si>
  <si>
    <t>A,Double,0.0,High,High,230,2,13,1,360.7991,3,CCD point (B=1; C=-1; D=1) at High speed,</t>
  </si>
  <si>
    <t>A,Normal,0.0,High,High,231,2,14,1,651.1528,33,CCD point (B=-1; C=-1; D=1) at High speed,</t>
  </si>
  <si>
    <t>A,Mid(5.25g),22.5,Mid(92.5cm),High,232,2,15,1,557.8387,20,CCD point (B=0; C=0; D=0) at High speed,</t>
  </si>
  <si>
    <t>A,Double,45.0,Low,High,233,2,16,1,378.3755,20,CCD point (B=1; C=1; D=-1) at High speed,</t>
  </si>
  <si>
    <t>A,Double,45.0,High,High,234,2,17,1,620.7737,18,CCD point (B=1; C=1; D=1) at High speed,</t>
  </si>
  <si>
    <t>A,Normal,45.0,High,High,235,2,18,1,610.167,28,Predicted max distance condition (confirm) (rep 1/5),</t>
  </si>
  <si>
    <t>A,Normal,45.0,High,High,236,2,19,2,625.4854,18,Predicted max distance condition (confirm) (rep 2/5),</t>
  </si>
  <si>
    <t>A,Normal,45.0,High,High,237,2,20,3,570.3192,10,Predicted max distance condition (confirm) (rep 3/5),</t>
  </si>
  <si>
    <t>A,Normal,45.0,High,High,238,2,21,4,784.0102,0,Predicted max distance condition (confirm) (rep 4/5),</t>
  </si>
  <si>
    <t>A,Normal,45.0,High,High,239,2,22,5,644.447,4,Predicted max distance condition (confirm) (rep 5/5),</t>
  </si>
  <si>
    <t>A,Normal,0.0,High,Low,240,1,18,1,462.0822,12,Best-guess low-speed optimum (confirm) (rep 1/3),</t>
  </si>
  <si>
    <t>A,Normal,0.0,High,Low,241,1,19,2,648.9499,8,Best-guess low-speed optimum (confirm) (rep 2/3),</t>
  </si>
  <si>
    <t>A,Normal,0.0,High,Low,242,1,20,3,526.4218,16,Best-guess low-speed optimum (confirm) (rep 3/3),</t>
  </si>
  <si>
    <t>A,Mid(5.25g),22.5,Mid(92.5cm),Low,203,1,3,1,414.3042,5,CCD point (B=0; C=0; D=0) at Low speed,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</si>
</sst>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A4" sqref="A4"/>
    </sheetView>
  </sheetViews>
  <sheetFormatPr defaultRowHeight="15" x14ac:dyDescent="0.25"/>
  <cols>
    <col min="12" max="12" width="11.85546875" bestFit="1" customWidth="1"/>
  </cols>
  <sheetData>
    <row r="1" spans="1:15" x14ac:dyDescent="0.25">
      <c r="A1" s="1" t="s">
        <v>0</v>
      </c>
    </row>
    <row r="2" spans="1:15" x14ac:dyDescent="0.25">
      <c r="A2" t="s">
        <v>20</v>
      </c>
    </row>
    <row r="3" spans="1:15" x14ac:dyDescent="0.25">
      <c r="A3" t="s">
        <v>21</v>
      </c>
    </row>
    <row r="4" spans="1:15" x14ac:dyDescent="0.25">
      <c r="A4" t="s">
        <v>61</v>
      </c>
    </row>
    <row r="5" spans="1:15" x14ac:dyDescent="0.25">
      <c r="A5" t="s">
        <v>22</v>
      </c>
    </row>
    <row r="6" spans="1:15" x14ac:dyDescent="0.25">
      <c r="A6" t="s">
        <v>23</v>
      </c>
    </row>
    <row r="7" spans="1:15" x14ac:dyDescent="0.25">
      <c r="A7" t="s">
        <v>24</v>
      </c>
      <c r="L7">
        <v>8.4</v>
      </c>
      <c r="M7">
        <v>0.2</v>
      </c>
    </row>
    <row r="8" spans="1:15" x14ac:dyDescent="0.25">
      <c r="A8" t="s">
        <v>25</v>
      </c>
      <c r="L8">
        <f>SQRT((L7*40)^2+(M7*40)^2)</f>
        <v>336.09522460160008</v>
      </c>
    </row>
    <row r="9" spans="1:15" x14ac:dyDescent="0.25">
      <c r="A9" t="s">
        <v>26</v>
      </c>
    </row>
    <row r="10" spans="1:15" x14ac:dyDescent="0.25">
      <c r="A10" t="s">
        <v>27</v>
      </c>
    </row>
    <row r="11" spans="1:15" x14ac:dyDescent="0.25">
      <c r="A11" t="s">
        <v>28</v>
      </c>
      <c r="O11">
        <v>21</v>
      </c>
    </row>
    <row r="12" spans="1:15" x14ac:dyDescent="0.25">
      <c r="A12" t="s">
        <v>29</v>
      </c>
    </row>
    <row r="13" spans="1:15" x14ac:dyDescent="0.25">
      <c r="A13" t="s">
        <v>30</v>
      </c>
    </row>
    <row r="14" spans="1:15" x14ac:dyDescent="0.25">
      <c r="A14" t="s">
        <v>31</v>
      </c>
    </row>
    <row r="15" spans="1:15" x14ac:dyDescent="0.25">
      <c r="A15" t="s">
        <v>32</v>
      </c>
    </row>
    <row r="16" spans="1:15" x14ac:dyDescent="0.25">
      <c r="A16" t="s">
        <v>33</v>
      </c>
    </row>
    <row r="17" spans="1:13" x14ac:dyDescent="0.25">
      <c r="A17" t="s">
        <v>34</v>
      </c>
    </row>
    <row r="18" spans="1:13" x14ac:dyDescent="0.25">
      <c r="A18" t="s">
        <v>35</v>
      </c>
      <c r="L18">
        <v>15.3</v>
      </c>
      <c r="M18">
        <v>2.6</v>
      </c>
    </row>
    <row r="19" spans="1:13" x14ac:dyDescent="0.25">
      <c r="A19" t="s">
        <v>36</v>
      </c>
      <c r="L19">
        <f>SQRT((L18*40)^2+(M18*40)^2)</f>
        <v>620.77371078356725</v>
      </c>
    </row>
    <row r="20" spans="1:13" x14ac:dyDescent="0.25">
      <c r="A20" t="s">
        <v>37</v>
      </c>
    </row>
    <row r="21" spans="1:13" x14ac:dyDescent="0.25">
      <c r="A21" t="s">
        <v>38</v>
      </c>
    </row>
    <row r="22" spans="1:13" x14ac:dyDescent="0.25">
      <c r="A22" t="s">
        <v>39</v>
      </c>
    </row>
    <row r="23" spans="1:13" x14ac:dyDescent="0.25">
      <c r="A23" t="s">
        <v>40</v>
      </c>
    </row>
    <row r="24" spans="1:13" x14ac:dyDescent="0.25">
      <c r="A24" t="s">
        <v>41</v>
      </c>
    </row>
    <row r="25" spans="1:13" x14ac:dyDescent="0.25">
      <c r="A25" t="s">
        <v>42</v>
      </c>
    </row>
    <row r="26" spans="1:13" x14ac:dyDescent="0.25">
      <c r="A26" t="s">
        <v>43</v>
      </c>
    </row>
    <row r="27" spans="1:13" x14ac:dyDescent="0.25">
      <c r="A27" t="s">
        <v>44</v>
      </c>
    </row>
    <row r="28" spans="1:13" x14ac:dyDescent="0.25">
      <c r="A28" t="s">
        <v>45</v>
      </c>
    </row>
    <row r="29" spans="1:13" x14ac:dyDescent="0.25">
      <c r="A29" t="s">
        <v>46</v>
      </c>
    </row>
    <row r="30" spans="1:13" x14ac:dyDescent="0.25">
      <c r="A30" t="s">
        <v>47</v>
      </c>
    </row>
    <row r="31" spans="1:13" x14ac:dyDescent="0.25">
      <c r="A31" t="s">
        <v>48</v>
      </c>
    </row>
    <row r="32" spans="1:13" x14ac:dyDescent="0.25">
      <c r="A32" t="s">
        <v>49</v>
      </c>
    </row>
    <row r="33" spans="1:13" x14ac:dyDescent="0.25">
      <c r="A33" t="s">
        <v>50</v>
      </c>
    </row>
    <row r="34" spans="1:13" x14ac:dyDescent="0.25">
      <c r="A34" t="s">
        <v>51</v>
      </c>
    </row>
    <row r="35" spans="1:13" x14ac:dyDescent="0.25">
      <c r="A35" t="s">
        <v>52</v>
      </c>
    </row>
    <row r="36" spans="1:13" x14ac:dyDescent="0.25">
      <c r="A36" t="s">
        <v>53</v>
      </c>
    </row>
    <row r="37" spans="1:13" x14ac:dyDescent="0.25">
      <c r="A37" t="s">
        <v>54</v>
      </c>
    </row>
    <row r="38" spans="1:13" x14ac:dyDescent="0.25">
      <c r="A38" t="s">
        <v>55</v>
      </c>
      <c r="L38">
        <v>12.6</v>
      </c>
      <c r="M38">
        <v>3.8</v>
      </c>
    </row>
    <row r="39" spans="1:13" x14ac:dyDescent="0.25">
      <c r="A39" t="s">
        <v>56</v>
      </c>
      <c r="L39">
        <f>SQRT((L38*40)^2+(M38*40)^2)</f>
        <v>526.42188404358728</v>
      </c>
    </row>
    <row r="40" spans="1:13" x14ac:dyDescent="0.25">
      <c r="A40" t="s">
        <v>57</v>
      </c>
    </row>
    <row r="41" spans="1:13" x14ac:dyDescent="0.25">
      <c r="A41" t="s">
        <v>58</v>
      </c>
    </row>
    <row r="42" spans="1:13" x14ac:dyDescent="0.25">
      <c r="A42" t="s">
        <v>59</v>
      </c>
    </row>
    <row r="43" spans="1:13" x14ac:dyDescent="0.25">
      <c r="A4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>
        <v>201</v>
      </c>
      <c r="B2" t="s">
        <v>8</v>
      </c>
      <c r="C2" t="s">
        <v>9</v>
      </c>
      <c r="D2">
        <v>22.5</v>
      </c>
      <c r="E2" t="s">
        <v>10</v>
      </c>
      <c r="F2" t="s">
        <v>11</v>
      </c>
      <c r="G2" t="s">
        <v>12</v>
      </c>
    </row>
    <row r="3" spans="1:7" x14ac:dyDescent="0.25">
      <c r="A3">
        <v>202</v>
      </c>
      <c r="B3" t="s">
        <v>8</v>
      </c>
      <c r="C3" t="s">
        <v>9</v>
      </c>
      <c r="D3">
        <v>45</v>
      </c>
      <c r="E3" t="s">
        <v>13</v>
      </c>
      <c r="F3" t="s">
        <v>11</v>
      </c>
      <c r="G3" t="s">
        <v>12</v>
      </c>
    </row>
    <row r="4" spans="1:7" x14ac:dyDescent="0.25">
      <c r="A4">
        <v>203</v>
      </c>
      <c r="B4" t="s">
        <v>8</v>
      </c>
      <c r="C4" t="s">
        <v>9</v>
      </c>
      <c r="D4">
        <v>22.5</v>
      </c>
      <c r="E4" t="s">
        <v>13</v>
      </c>
      <c r="F4" t="s">
        <v>11</v>
      </c>
      <c r="G4" t="s">
        <v>12</v>
      </c>
    </row>
    <row r="5" spans="1:7" x14ac:dyDescent="0.25">
      <c r="A5">
        <v>204</v>
      </c>
      <c r="B5" t="s">
        <v>8</v>
      </c>
      <c r="C5" t="s">
        <v>14</v>
      </c>
      <c r="D5">
        <v>45</v>
      </c>
      <c r="E5" t="s">
        <v>15</v>
      </c>
      <c r="F5" t="s">
        <v>11</v>
      </c>
      <c r="G5" t="s">
        <v>12</v>
      </c>
    </row>
    <row r="6" spans="1:7" x14ac:dyDescent="0.25">
      <c r="A6">
        <v>205</v>
      </c>
      <c r="B6" t="s">
        <v>8</v>
      </c>
      <c r="C6" t="s">
        <v>9</v>
      </c>
      <c r="D6">
        <v>22.5</v>
      </c>
      <c r="E6" t="s">
        <v>13</v>
      </c>
      <c r="F6" t="s">
        <v>11</v>
      </c>
      <c r="G6" t="s">
        <v>12</v>
      </c>
    </row>
    <row r="7" spans="1:7" x14ac:dyDescent="0.25">
      <c r="A7">
        <v>206</v>
      </c>
      <c r="B7" t="s">
        <v>8</v>
      </c>
      <c r="C7" t="s">
        <v>9</v>
      </c>
      <c r="D7">
        <v>22.5</v>
      </c>
      <c r="E7" t="s">
        <v>13</v>
      </c>
      <c r="F7" t="s">
        <v>11</v>
      </c>
      <c r="G7" t="s">
        <v>12</v>
      </c>
    </row>
    <row r="8" spans="1:7" x14ac:dyDescent="0.25">
      <c r="A8">
        <v>207</v>
      </c>
      <c r="B8" t="s">
        <v>8</v>
      </c>
      <c r="C8" t="s">
        <v>16</v>
      </c>
      <c r="D8">
        <v>22.5</v>
      </c>
      <c r="E8" t="s">
        <v>13</v>
      </c>
      <c r="F8" t="s">
        <v>11</v>
      </c>
      <c r="G8" t="s">
        <v>12</v>
      </c>
    </row>
    <row r="9" spans="1:7" x14ac:dyDescent="0.25">
      <c r="A9">
        <v>208</v>
      </c>
      <c r="B9" t="s">
        <v>8</v>
      </c>
      <c r="C9" t="s">
        <v>16</v>
      </c>
      <c r="D9">
        <v>45</v>
      </c>
      <c r="E9" t="s">
        <v>10</v>
      </c>
      <c r="F9" t="s">
        <v>11</v>
      </c>
      <c r="G9" t="s">
        <v>12</v>
      </c>
    </row>
    <row r="10" spans="1:7" x14ac:dyDescent="0.25">
      <c r="A10">
        <v>209</v>
      </c>
      <c r="B10" t="s">
        <v>8</v>
      </c>
      <c r="C10" t="s">
        <v>9</v>
      </c>
      <c r="D10">
        <v>0</v>
      </c>
      <c r="E10" t="s">
        <v>13</v>
      </c>
      <c r="F10" t="s">
        <v>11</v>
      </c>
      <c r="G10" t="s">
        <v>12</v>
      </c>
    </row>
    <row r="11" spans="1:7" x14ac:dyDescent="0.25">
      <c r="A11">
        <v>210</v>
      </c>
      <c r="B11" t="s">
        <v>8</v>
      </c>
      <c r="C11" t="s">
        <v>14</v>
      </c>
      <c r="D11">
        <v>0</v>
      </c>
      <c r="E11" t="s">
        <v>10</v>
      </c>
      <c r="F11" t="s">
        <v>11</v>
      </c>
      <c r="G11" t="s">
        <v>12</v>
      </c>
    </row>
    <row r="12" spans="1:7" x14ac:dyDescent="0.25">
      <c r="A12">
        <v>211</v>
      </c>
      <c r="B12" t="s">
        <v>8</v>
      </c>
      <c r="C12" t="s">
        <v>16</v>
      </c>
      <c r="D12">
        <v>0</v>
      </c>
      <c r="E12" t="s">
        <v>10</v>
      </c>
      <c r="F12" t="s">
        <v>11</v>
      </c>
      <c r="G12" t="s">
        <v>12</v>
      </c>
    </row>
    <row r="13" spans="1:7" x14ac:dyDescent="0.25">
      <c r="A13">
        <v>212</v>
      </c>
      <c r="B13" t="s">
        <v>8</v>
      </c>
      <c r="C13" t="s">
        <v>9</v>
      </c>
      <c r="D13">
        <v>22.5</v>
      </c>
      <c r="E13" t="s">
        <v>15</v>
      </c>
      <c r="F13" t="s">
        <v>11</v>
      </c>
      <c r="G13" t="s">
        <v>12</v>
      </c>
    </row>
    <row r="14" spans="1:7" x14ac:dyDescent="0.25">
      <c r="A14">
        <v>213</v>
      </c>
      <c r="B14" t="s">
        <v>8</v>
      </c>
      <c r="C14" t="s">
        <v>14</v>
      </c>
      <c r="D14">
        <v>22.5</v>
      </c>
      <c r="E14" t="s">
        <v>13</v>
      </c>
      <c r="F14" t="s">
        <v>11</v>
      </c>
      <c r="G14" t="s">
        <v>12</v>
      </c>
    </row>
    <row r="15" spans="1:7" x14ac:dyDescent="0.25">
      <c r="A15">
        <v>214</v>
      </c>
      <c r="B15" t="s">
        <v>8</v>
      </c>
      <c r="C15" t="s">
        <v>16</v>
      </c>
      <c r="D15">
        <v>0</v>
      </c>
      <c r="E15" t="s">
        <v>15</v>
      </c>
      <c r="F15" t="s">
        <v>11</v>
      </c>
      <c r="G15" t="s">
        <v>12</v>
      </c>
    </row>
    <row r="16" spans="1:7" x14ac:dyDescent="0.25">
      <c r="A16">
        <v>215</v>
      </c>
      <c r="B16" t="s">
        <v>8</v>
      </c>
      <c r="C16" t="s">
        <v>16</v>
      </c>
      <c r="D16">
        <v>45</v>
      </c>
      <c r="E16" t="s">
        <v>15</v>
      </c>
      <c r="F16" t="s">
        <v>11</v>
      </c>
      <c r="G16" t="s">
        <v>12</v>
      </c>
    </row>
    <row r="17" spans="1:7" x14ac:dyDescent="0.25">
      <c r="A17">
        <v>216</v>
      </c>
      <c r="B17" t="s">
        <v>8</v>
      </c>
      <c r="C17" t="s">
        <v>14</v>
      </c>
      <c r="D17">
        <v>0</v>
      </c>
      <c r="E17" t="s">
        <v>15</v>
      </c>
      <c r="F17" t="s">
        <v>11</v>
      </c>
      <c r="G17" t="s">
        <v>12</v>
      </c>
    </row>
    <row r="18" spans="1:7" x14ac:dyDescent="0.25">
      <c r="A18">
        <v>217</v>
      </c>
      <c r="B18" t="s">
        <v>8</v>
      </c>
      <c r="C18" t="s">
        <v>14</v>
      </c>
      <c r="D18">
        <v>45</v>
      </c>
      <c r="E18" t="s">
        <v>10</v>
      </c>
      <c r="F18" t="s">
        <v>11</v>
      </c>
      <c r="G18" t="s">
        <v>12</v>
      </c>
    </row>
    <row r="19" spans="1:7" x14ac:dyDescent="0.25">
      <c r="A19">
        <v>218</v>
      </c>
      <c r="B19" t="s">
        <v>8</v>
      </c>
      <c r="C19" t="s">
        <v>16</v>
      </c>
      <c r="D19">
        <v>0</v>
      </c>
      <c r="E19" t="s">
        <v>15</v>
      </c>
      <c r="F19" t="s">
        <v>17</v>
      </c>
      <c r="G19" t="s">
        <v>12</v>
      </c>
    </row>
    <row r="20" spans="1:7" x14ac:dyDescent="0.25">
      <c r="A20">
        <v>219</v>
      </c>
      <c r="B20" t="s">
        <v>8</v>
      </c>
      <c r="C20" t="s">
        <v>9</v>
      </c>
      <c r="D20">
        <v>0</v>
      </c>
      <c r="E20" t="s">
        <v>13</v>
      </c>
      <c r="F20" t="s">
        <v>17</v>
      </c>
      <c r="G20" t="s">
        <v>12</v>
      </c>
    </row>
    <row r="21" spans="1:7" x14ac:dyDescent="0.25">
      <c r="A21">
        <v>220</v>
      </c>
      <c r="B21" t="s">
        <v>8</v>
      </c>
      <c r="C21" t="s">
        <v>14</v>
      </c>
      <c r="D21">
        <v>0</v>
      </c>
      <c r="E21" t="s">
        <v>15</v>
      </c>
      <c r="F21" t="s">
        <v>17</v>
      </c>
      <c r="G21" t="s">
        <v>12</v>
      </c>
    </row>
    <row r="22" spans="1:7" x14ac:dyDescent="0.25">
      <c r="A22">
        <v>221</v>
      </c>
      <c r="B22" t="s">
        <v>8</v>
      </c>
      <c r="C22" t="s">
        <v>9</v>
      </c>
      <c r="D22">
        <v>22.5</v>
      </c>
      <c r="E22" t="s">
        <v>13</v>
      </c>
      <c r="F22" t="s">
        <v>17</v>
      </c>
      <c r="G22" t="s">
        <v>12</v>
      </c>
    </row>
    <row r="23" spans="1:7" x14ac:dyDescent="0.25">
      <c r="A23">
        <v>222</v>
      </c>
      <c r="B23" t="s">
        <v>8</v>
      </c>
      <c r="C23" t="s">
        <v>14</v>
      </c>
      <c r="D23">
        <v>22.5</v>
      </c>
      <c r="E23" t="s">
        <v>13</v>
      </c>
      <c r="F23" t="s">
        <v>17</v>
      </c>
      <c r="G23" t="s">
        <v>12</v>
      </c>
    </row>
    <row r="24" spans="1:7" x14ac:dyDescent="0.25">
      <c r="A24">
        <v>223</v>
      </c>
      <c r="B24" t="s">
        <v>8</v>
      </c>
      <c r="C24" t="s">
        <v>16</v>
      </c>
      <c r="D24">
        <v>22.5</v>
      </c>
      <c r="E24" t="s">
        <v>13</v>
      </c>
      <c r="F24" t="s">
        <v>17</v>
      </c>
      <c r="G24" t="s">
        <v>12</v>
      </c>
    </row>
    <row r="25" spans="1:7" x14ac:dyDescent="0.25">
      <c r="A25">
        <v>224</v>
      </c>
      <c r="B25" t="s">
        <v>8</v>
      </c>
      <c r="C25" t="s">
        <v>9</v>
      </c>
      <c r="D25">
        <v>22.5</v>
      </c>
      <c r="E25" t="s">
        <v>10</v>
      </c>
      <c r="F25" t="s">
        <v>17</v>
      </c>
      <c r="G25" t="s">
        <v>12</v>
      </c>
    </row>
    <row r="26" spans="1:7" x14ac:dyDescent="0.25">
      <c r="A26">
        <v>225</v>
      </c>
      <c r="B26" t="s">
        <v>8</v>
      </c>
      <c r="C26" t="s">
        <v>9</v>
      </c>
      <c r="D26">
        <v>45</v>
      </c>
      <c r="E26" t="s">
        <v>13</v>
      </c>
      <c r="F26" t="s">
        <v>17</v>
      </c>
      <c r="G26" t="s">
        <v>12</v>
      </c>
    </row>
    <row r="27" spans="1:7" x14ac:dyDescent="0.25">
      <c r="A27">
        <v>226</v>
      </c>
      <c r="B27" t="s">
        <v>8</v>
      </c>
      <c r="C27" t="s">
        <v>14</v>
      </c>
      <c r="D27">
        <v>45</v>
      </c>
      <c r="E27" t="s">
        <v>10</v>
      </c>
      <c r="F27" t="s">
        <v>17</v>
      </c>
      <c r="G27" t="s">
        <v>12</v>
      </c>
    </row>
    <row r="28" spans="1:7" x14ac:dyDescent="0.25">
      <c r="A28">
        <v>227</v>
      </c>
      <c r="B28" t="s">
        <v>8</v>
      </c>
      <c r="C28" t="s">
        <v>9</v>
      </c>
      <c r="D28">
        <v>22.5</v>
      </c>
      <c r="E28" t="s">
        <v>13</v>
      </c>
      <c r="F28" t="s">
        <v>17</v>
      </c>
      <c r="G28" t="s">
        <v>12</v>
      </c>
    </row>
    <row r="29" spans="1:7" x14ac:dyDescent="0.25">
      <c r="A29">
        <v>228</v>
      </c>
      <c r="B29" t="s">
        <v>8</v>
      </c>
      <c r="C29" t="s">
        <v>14</v>
      </c>
      <c r="D29">
        <v>45</v>
      </c>
      <c r="E29" t="s">
        <v>15</v>
      </c>
      <c r="F29" t="s">
        <v>17</v>
      </c>
      <c r="G29" t="s">
        <v>12</v>
      </c>
    </row>
    <row r="30" spans="1:7" x14ac:dyDescent="0.25">
      <c r="A30">
        <v>229</v>
      </c>
      <c r="B30" t="s">
        <v>8</v>
      </c>
      <c r="C30" t="s">
        <v>9</v>
      </c>
      <c r="D30">
        <v>22.5</v>
      </c>
      <c r="E30" t="s">
        <v>15</v>
      </c>
      <c r="F30" t="s">
        <v>17</v>
      </c>
      <c r="G30" t="s">
        <v>12</v>
      </c>
    </row>
    <row r="31" spans="1:7" x14ac:dyDescent="0.25">
      <c r="A31">
        <v>230</v>
      </c>
      <c r="B31" t="s">
        <v>8</v>
      </c>
      <c r="C31" t="s">
        <v>16</v>
      </c>
      <c r="D31">
        <v>0</v>
      </c>
      <c r="E31" t="s">
        <v>10</v>
      </c>
      <c r="F31" t="s">
        <v>17</v>
      </c>
      <c r="G31" t="s">
        <v>12</v>
      </c>
    </row>
    <row r="32" spans="1:7" x14ac:dyDescent="0.25">
      <c r="A32">
        <v>231</v>
      </c>
      <c r="B32" t="s">
        <v>8</v>
      </c>
      <c r="C32" t="s">
        <v>14</v>
      </c>
      <c r="D32">
        <v>0</v>
      </c>
      <c r="E32" t="s">
        <v>10</v>
      </c>
      <c r="F32" t="s">
        <v>17</v>
      </c>
      <c r="G32" t="s">
        <v>12</v>
      </c>
    </row>
    <row r="33" spans="1:7" x14ac:dyDescent="0.25">
      <c r="A33">
        <v>232</v>
      </c>
      <c r="B33" t="s">
        <v>8</v>
      </c>
      <c r="C33" t="s">
        <v>9</v>
      </c>
      <c r="D33">
        <v>22.5</v>
      </c>
      <c r="E33" t="s">
        <v>13</v>
      </c>
      <c r="F33" t="s">
        <v>17</v>
      </c>
      <c r="G33" t="s">
        <v>12</v>
      </c>
    </row>
    <row r="34" spans="1:7" x14ac:dyDescent="0.25">
      <c r="A34">
        <v>233</v>
      </c>
      <c r="B34" t="s">
        <v>8</v>
      </c>
      <c r="C34" t="s">
        <v>16</v>
      </c>
      <c r="D34">
        <v>45</v>
      </c>
      <c r="E34" t="s">
        <v>15</v>
      </c>
      <c r="F34" t="s">
        <v>17</v>
      </c>
      <c r="G34" t="s">
        <v>12</v>
      </c>
    </row>
    <row r="35" spans="1:7" x14ac:dyDescent="0.25">
      <c r="A35">
        <v>234</v>
      </c>
      <c r="B35" t="s">
        <v>8</v>
      </c>
      <c r="C35" t="s">
        <v>16</v>
      </c>
      <c r="D35">
        <v>45</v>
      </c>
      <c r="E35" t="s">
        <v>10</v>
      </c>
      <c r="F35" t="s">
        <v>17</v>
      </c>
      <c r="G35" t="s">
        <v>12</v>
      </c>
    </row>
    <row r="36" spans="1:7" x14ac:dyDescent="0.25">
      <c r="A36">
        <v>235</v>
      </c>
      <c r="B36" t="s">
        <v>8</v>
      </c>
      <c r="C36" t="s">
        <v>18</v>
      </c>
      <c r="D36">
        <v>45</v>
      </c>
      <c r="E36" t="s">
        <v>17</v>
      </c>
      <c r="F36" t="s">
        <v>17</v>
      </c>
      <c r="G36" t="s">
        <v>19</v>
      </c>
    </row>
    <row r="37" spans="1:7" x14ac:dyDescent="0.25">
      <c r="A37">
        <v>236</v>
      </c>
      <c r="B37" t="s">
        <v>8</v>
      </c>
      <c r="C37" t="s">
        <v>18</v>
      </c>
      <c r="D37">
        <v>45</v>
      </c>
      <c r="E37" t="s">
        <v>17</v>
      </c>
      <c r="F37" t="s">
        <v>17</v>
      </c>
      <c r="G37" t="s">
        <v>19</v>
      </c>
    </row>
    <row r="38" spans="1:7" x14ac:dyDescent="0.25">
      <c r="A38">
        <v>237</v>
      </c>
      <c r="B38" t="s">
        <v>8</v>
      </c>
      <c r="C38" t="s">
        <v>18</v>
      </c>
      <c r="D38">
        <v>45</v>
      </c>
      <c r="E38" t="s">
        <v>17</v>
      </c>
      <c r="F38" t="s">
        <v>17</v>
      </c>
      <c r="G38" t="s">
        <v>19</v>
      </c>
    </row>
    <row r="39" spans="1:7" x14ac:dyDescent="0.25">
      <c r="A39">
        <v>238</v>
      </c>
      <c r="B39" t="s">
        <v>8</v>
      </c>
      <c r="C39" t="s">
        <v>18</v>
      </c>
      <c r="D39">
        <v>45</v>
      </c>
      <c r="E39" t="s">
        <v>17</v>
      </c>
      <c r="F39" t="s">
        <v>17</v>
      </c>
      <c r="G39" t="s">
        <v>19</v>
      </c>
    </row>
    <row r="40" spans="1:7" x14ac:dyDescent="0.25">
      <c r="A40">
        <v>239</v>
      </c>
      <c r="B40" t="s">
        <v>8</v>
      </c>
      <c r="C40" t="s">
        <v>18</v>
      </c>
      <c r="D40">
        <v>45</v>
      </c>
      <c r="E40" t="s">
        <v>17</v>
      </c>
      <c r="F40" t="s">
        <v>17</v>
      </c>
      <c r="G40" t="s">
        <v>19</v>
      </c>
    </row>
    <row r="41" spans="1:7" x14ac:dyDescent="0.25">
      <c r="A41">
        <v>240</v>
      </c>
      <c r="B41" t="s">
        <v>8</v>
      </c>
      <c r="C41" t="s">
        <v>18</v>
      </c>
      <c r="D41">
        <v>0</v>
      </c>
      <c r="E41" t="s">
        <v>17</v>
      </c>
      <c r="F41" t="s">
        <v>11</v>
      </c>
      <c r="G41" t="s">
        <v>19</v>
      </c>
    </row>
    <row r="42" spans="1:7" x14ac:dyDescent="0.25">
      <c r="A42">
        <v>241</v>
      </c>
      <c r="B42" t="s">
        <v>8</v>
      </c>
      <c r="C42" t="s">
        <v>18</v>
      </c>
      <c r="D42">
        <v>0</v>
      </c>
      <c r="E42" t="s">
        <v>17</v>
      </c>
      <c r="F42" t="s">
        <v>11</v>
      </c>
      <c r="G42" t="s">
        <v>19</v>
      </c>
    </row>
    <row r="43" spans="1:7" x14ac:dyDescent="0.25">
      <c r="A43">
        <v>242</v>
      </c>
      <c r="B43" t="s">
        <v>8</v>
      </c>
      <c r="C43" t="s">
        <v>18</v>
      </c>
      <c r="D43">
        <v>0</v>
      </c>
      <c r="E43" t="s">
        <v>17</v>
      </c>
      <c r="F43" t="s">
        <v>11</v>
      </c>
      <c r="G4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2</vt:i4>
      </vt:variant>
    </vt:vector>
  </HeadingPairs>
  <TitlesOfParts>
    <vt:vector size="2" baseType="lpstr">
      <vt:lpstr>RunSheet_SingleColumn</vt:lpstr>
      <vt:lpstr>Config_Legend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Oihane Sanz Sagardui</cp:lastModifiedBy>
  <dcterms:created xsi:type="dcterms:W3CDTF">2026-01-13T14:51:53Z</dcterms:created>
  <dcterms:modified xsi:type="dcterms:W3CDTF">2026-01-14T13:55:13Z</dcterms:modified>
</cp:coreProperties>
</file>